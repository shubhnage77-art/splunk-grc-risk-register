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Dell\Music\"/>
    </mc:Choice>
  </mc:AlternateContent>
  <xr:revisionPtr revIDLastSave="0" documentId="13_ncr:1_{2FCBD354-C58C-4703-99CA-03452EB45A8E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Summary" sheetId="1" r:id="rId1"/>
    <sheet name="Risk Register" sheetId="2" r:id="rId2"/>
    <sheet name="Control Test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10" i="3" l="1"/>
  <c r="B10" i="1" s="1"/>
  <c r="F8" i="2"/>
  <c r="G8" i="2" s="1"/>
  <c r="F7" i="2"/>
  <c r="G7" i="2" s="1"/>
  <c r="B14" i="3" s="1"/>
  <c r="F6" i="2"/>
  <c r="G6" i="2" s="1"/>
  <c r="F5" i="2"/>
  <c r="G5" i="2" s="1"/>
  <c r="B9" i="1"/>
  <c r="B5" i="1" l="1"/>
  <c r="B4" i="1"/>
  <c r="B6" i="1"/>
  <c r="B7" i="1"/>
  <c r="B8" i="1" l="1"/>
</calcChain>
</file>

<file path=xl/sharedStrings.xml><?xml version="1.0" encoding="utf-8"?>
<sst xmlns="http://schemas.openxmlformats.org/spreadsheetml/2006/main" count="101" uniqueCount="94">
  <si>
    <t>Executive Summary</t>
  </si>
  <si>
    <t>Rating</t>
  </si>
  <si>
    <t>Count</t>
  </si>
  <si>
    <t>Critical</t>
  </si>
  <si>
    <t>High</t>
  </si>
  <si>
    <t>Medium</t>
  </si>
  <si>
    <t>Low</t>
  </si>
  <si>
    <t>Total risks</t>
  </si>
  <si>
    <t>Open items</t>
  </si>
  <si>
    <t>MFA control failure rate</t>
  </si>
  <si>
    <t>IT Services Co. (Fictional) - Splunk Risk Register</t>
  </si>
  <si>
    <t>Data source: simulated authentication logs (it_services_co_auth_logs.csv), 180 events, Oct 2026. All names, IPs and events are fictional.</t>
  </si>
  <si>
    <t>ID</t>
  </si>
  <si>
    <t>Risk</t>
  </si>
  <si>
    <t>Description / Splunk result</t>
  </si>
  <si>
    <t>Likelihood (1-5)</t>
  </si>
  <si>
    <t>Impact (1-5)</t>
  </si>
  <si>
    <t>Risk Score</t>
  </si>
  <si>
    <t>Recommended Mitigation</t>
  </si>
  <si>
    <t>Risk Owner</t>
  </si>
  <si>
    <t>Target Date</t>
  </si>
  <si>
    <t>Evidence File</t>
  </si>
  <si>
    <t>Framework Mapping (suggested)</t>
  </si>
  <si>
    <t>Status</t>
  </si>
  <si>
    <t>R-01</t>
  </si>
  <si>
    <t>Terminated employees retain active access</t>
  </si>
  <si>
    <t>3 successful logins by 2 terminated users (bthomas x2, cdavis x1) from external IPs, including CLIENT_DB, FILE_SERVER and VPN. Offboarding failed to disable accounts.</t>
  </si>
  <si>
    <t>Disable both accounts immediately; review access granted during the logins; add an automated HR-to-IT offboarding check and a monthly terminated-user access review.</t>
  </si>
  <si>
    <t>IT Operations / IAM Lead</t>
  </si>
  <si>
    <t>Immediate (24 hrs)</t>
  </si>
  <si>
    <t>finding01_terminated_user_access.png</t>
  </si>
  <si>
    <t>NIST CSF 2.0: PR.AA | ISO/IEC 27001:2022: A.5.18</t>
  </si>
  <si>
    <t>Open</t>
  </si>
  <si>
    <t>R-02</t>
  </si>
  <si>
    <t>Brute-force attempt on admin account</t>
  </si>
  <si>
    <t>26 failed logins against admin account asharma in about 3 minutes (around 03:12) from external IP 185.220.101.9, all against ADMIN_PORTAL. 34 failed logins in total in the dataset.</t>
  </si>
  <si>
    <t>Block the source IP; enable account lockout and rate limiting; restrict admin portal to VPN; create a Splunk alert for 5+ failures in 5 minutes.</t>
  </si>
  <si>
    <t>Security Operations Lead</t>
  </si>
  <si>
    <t>7 days</t>
  </si>
  <si>
    <t>finding02_failed_login_burst.png; finding02_source_ip.png</t>
  </si>
  <si>
    <t>NIST CSF 2.0: DE.CM | ISO/IEC 27001:2022: A.8.5, A.8.16</t>
  </si>
  <si>
    <t>R-03</t>
  </si>
  <si>
    <t>Accounts logging in without MFA</t>
  </si>
  <si>
    <t>3 of 10 active accounts logged in without MFA: rpatel (Admin), tnguyen (Developer), pjones (Analyst). 45 successful no-MFA logins by active users.</t>
  </si>
  <si>
    <t>Enforce MFA enrollment, starting with the admin account; block password-only logins by policy.</t>
  </si>
  <si>
    <t>IAM Lead</t>
  </si>
  <si>
    <t>Admin: 7 days; others: 30 days</t>
  </si>
  <si>
    <t>finding03_no_mfa_accounts.png</t>
  </si>
  <si>
    <t>NIST CSF 2.0: PR.AA | ISO/IEC 27001:2022: A.8.5</t>
  </si>
  <si>
    <t>R-04</t>
  </si>
  <si>
    <t>Logins outside normal hours</t>
  </si>
  <si>
    <t>6 successful logins between 20:00 and 06:00: rpatel x2, bthomas x2, cdavis x1, tnguyen x1. Three of the six are by terminated users (overlaps with R-01).</t>
  </si>
  <si>
    <t>Alert on successful after-hours logins to admin and client systems; require manager approval or just-in-time access outside business hours.</t>
  </si>
  <si>
    <t>30 days</t>
  </si>
  <si>
    <t>finding04_after_hours_logins.png</t>
  </si>
  <si>
    <t>NIST CSF 2.0: DE.CM | ISO/IEC 27001:2022: A.8.15, A.8.16</t>
  </si>
  <si>
    <t>Rating scale</t>
  </si>
  <si>
    <t>Risk score = Likelihood x Impact (each 1-5). Low: 1-4 | Medium: 5-9 | High: 10-16 | Critical: 17-25.</t>
  </si>
  <si>
    <t>Blue cells are inputs: change Likelihood or Impact and the score and rating update. Likelihood and impact values are my own judgment for this fictional case.</t>
  </si>
  <si>
    <t>Framework mappings are suggested category-level references; verify against the current NIST CSF 2.0 and ISO/IEC 27001:2022 texts before presenting.</t>
  </si>
  <si>
    <t>Control Test - MFA for All Active Accounts</t>
  </si>
  <si>
    <t>Linked risk: R-03. Source: Splunk, index it_services_co.</t>
  </si>
  <si>
    <t>Field</t>
  </si>
  <si>
    <t>Detail</t>
  </si>
  <si>
    <t>Control tested</t>
  </si>
  <si>
    <t>All active employee accounts must use multi-factor authentication (MFA).</t>
  </si>
  <si>
    <t>Test procedure</t>
  </si>
  <si>
    <t>In Splunk, searched successful logins by active employees and grouped them by username and MFA status.</t>
  </si>
  <si>
    <t>Splunk search</t>
  </si>
  <si>
    <t>index=it_services_co employee_status=Active login_result=SUCCESS | stats count by username, mfa_used</t>
  </si>
  <si>
    <t>Population (active accounts)</t>
  </si>
  <si>
    <t>Accounts without MFA</t>
  </si>
  <si>
    <t>Failure rate</t>
  </si>
  <si>
    <t>Accounts failing</t>
  </si>
  <si>
    <t>rpatel (Admin), tnguyen (Developer), pjones (Analyst)</t>
  </si>
  <si>
    <t>Result</t>
  </si>
  <si>
    <t>Control FAILED</t>
  </si>
  <si>
    <t>Finding</t>
  </si>
  <si>
    <t>MFA is not consistently enforced. One failing account (rpatel) has admin privileges.</t>
  </si>
  <si>
    <t>Risk rating</t>
  </si>
  <si>
    <t>Recommended remediation</t>
  </si>
  <si>
    <t>Require MFA enrollment for all accounts, starting with the admin account; add a policy that blocks password-only logins.</t>
  </si>
  <si>
    <t>Evidence required</t>
  </si>
  <si>
    <t>Enforcement policy screenshot; updated MFA enrollment report; retest results.</t>
  </si>
  <si>
    <t>Evidence collected</t>
  </si>
  <si>
    <t>finding05_mfa_control_test.png</t>
  </si>
  <si>
    <t>Owner</t>
  </si>
  <si>
    <t>Identity and Access Management (IAM) Lead</t>
  </si>
  <si>
    <t>Due date</t>
  </si>
  <si>
    <t>Admin account: 7 days; remaining accounts: 30 days</t>
  </si>
  <si>
    <t>Retest search</t>
  </si>
  <si>
    <t>index=it_services_co employee_status=Active login_result=SUCCESS mfa_used=No | stats count by username</t>
  </si>
  <si>
    <t>Retest pass criteria</t>
  </si>
  <si>
    <t>Zero accounts returned. If any remain, the finding stays open.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</si>
</sst>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charset val="1"/>
    </font>
    <font>
      <b/>
      <sz val="14"/>
      <name val="Arial"/>
      <charset val="1"/>
    </font>
    <font>
      <b/>
      <sz val="10"/>
      <color rgb="FFFFFFFF"/>
      <name val="Arial"/>
      <charset val="1"/>
    </font>
    <font>
      <sz val="10"/>
      <name val="Arial"/>
      <charset val="1"/>
    </font>
    <font>
      <b/>
      <sz val="10"/>
      <name val="Arial"/>
      <charset val="1"/>
    </font>
    <font>
      <i/>
      <sz val="9"/>
      <name val="Arial"/>
      <charset val="1"/>
    </font>
    <font>
      <sz val="10"/>
      <color rgb="FF0000FF"/>
      <name val="Arial"/>
      <charset val="1"/>
    </font>
    <font>
      <sz val="9"/>
      <name val="Arial"/>
      <charset val="1"/>
    </font>
    <font>
      <sz val="10"/>
      <color rgb="FF008000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0" fontId="5" fillId="0" borderId="0" xfId="0" applyFont="1"/>
    <xf numFmtId="0" fontId="2" fillId="2" borderId="1" xfId="0" applyFont="1" applyFill="1" applyBorder="1"/>
    <xf numFmtId="0" fontId="3" fillId="0" borderId="1" xfId="0" applyFont="1" applyBorder="1"/>
    <xf numFmtId="0" fontId="4" fillId="0" borderId="1" xfId="0" applyFont="1" applyBorder="1"/>
    <xf numFmtId="9" fontId="4" fillId="0" borderId="1" xfId="0" applyNumberFormat="1" applyFont="1" applyBorder="1"/>
    <xf numFmtId="0" fontId="1" fillId="0" borderId="0" xfId="0" applyFont="1" applyAlignment="1"/>
    <xf numFmtId="0" fontId="3" fillId="0" borderId="1" xfId="0" applyFont="1" applyBorder="1" applyAlignment="1">
      <alignment horizontal="left" vertical="top" wrapText="1"/>
    </xf>
    <xf numFmtId="0" fontId="6" fillId="0" borderId="1" xfId="0" applyFont="1" applyBorder="1" applyAlignment="1">
      <alignment horizontal="left" vertical="top"/>
    </xf>
    <xf numFmtId="0" fontId="3" fillId="0" borderId="1" xfId="0" applyFont="1" applyBorder="1" applyAlignment="1">
      <alignment horizontal="left" vertical="top"/>
    </xf>
    <xf numFmtId="0" fontId="2" fillId="2" borderId="1" xfId="0" applyFont="1" applyFill="1" applyBorder="1" applyAlignment="1">
      <alignment horizontal="left" vertical="top" wrapText="1"/>
    </xf>
    <xf numFmtId="0" fontId="0" fillId="0" borderId="0" xfId="0" applyAlignment="1">
      <alignment wrapText="1"/>
    </xf>
    <xf numFmtId="0" fontId="4" fillId="0" borderId="1" xfId="0" applyFont="1" applyBorder="1" applyAlignment="1">
      <alignment wrapText="1"/>
    </xf>
    <xf numFmtId="0" fontId="7" fillId="3" borderId="1" xfId="0" applyFont="1" applyFill="1" applyBorder="1" applyAlignment="1">
      <alignment wrapText="1"/>
    </xf>
    <xf numFmtId="9" fontId="3" fillId="0" borderId="1" xfId="0" applyNumberFormat="1" applyFont="1" applyBorder="1" applyAlignment="1">
      <alignment horizontal="left" vertical="top"/>
    </xf>
    <xf numFmtId="0" fontId="2" fillId="2" borderId="1" xfId="0" applyFont="1" applyFill="1" applyBorder="1" applyAlignment="1">
      <alignment horizontal="left" vertical="top"/>
    </xf>
    <xf numFmtId="0" fontId="4" fillId="0" borderId="1" xfId="0" applyFont="1" applyBorder="1" applyAlignment="1">
      <alignment horizontal="left" vertical="top" wrapText="1"/>
    </xf>
    <xf numFmtId="0" fontId="6" fillId="0" borderId="1" xfId="0" applyFont="1" applyBorder="1" applyAlignment="1">
      <alignment horizontal="left" vertical="top" wrapText="1"/>
    </xf>
    <xf numFmtId="0" fontId="8" fillId="0" borderId="1" xfId="0" applyFont="1" applyBorder="1" applyAlignment="1">
      <alignment horizontal="left" vertical="top" wrapText="1"/>
    </xf>
  </cellXfs>
  <cellStyles count="1">
    <cellStyle name="Normal" xfId="0" builtinId="0"/>
  </cellStyles>
  <dxfs count="12"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78787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F81BD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Risks by Rating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Summary!$B$3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trendline>
            <c:trendlineType val="linear"/>
            <c:dispRSqr val="0"/>
            <c:dispEq val="0"/>
          </c:trendline>
          <c:errBars>
            <c:errBarType val="both"/>
            <c:errValType val="stdErr"/>
            <c:noEndCap val="0"/>
          </c:errBars>
          <c:cat>
            <c:strRef>
              <c:f>Summary!$A$4:$A$7</c:f>
              <c:strCache>
                <c:ptCount val="4"/>
                <c:pt idx="0">
                  <c:v>Critical</c:v>
                </c:pt>
                <c:pt idx="1">
                  <c:v>High</c:v>
                </c:pt>
                <c:pt idx="2">
                  <c:v>Medium</c:v>
                </c:pt>
                <c:pt idx="3">
                  <c:v>Low</c:v>
                </c:pt>
              </c:strCache>
            </c:strRef>
          </c:cat>
          <c:val>
            <c:numRef>
              <c:f>Summary!$B$4:$B$7</c:f>
              <c:numCache>
                <c:formatCode>General</c:formatCode>
                <c:ptCount val="4"/>
                <c:pt idx="0">
                  <c:v>1</c:v>
                </c:pt>
                <c:pt idx="1">
                  <c:v>2</c:v>
                </c:pt>
                <c:pt idx="2">
                  <c:v>1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B04-4203-8176-7E35811987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4269842"/>
        <c:axId val="46311142"/>
      </c:barChart>
      <c:catAx>
        <c:axId val="6426984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6311142"/>
        <c:crosses val="autoZero"/>
        <c:auto val="1"/>
        <c:lblAlgn val="ctr"/>
        <c:lblOffset val="100"/>
        <c:noMultiLvlLbl val="0"/>
      </c:catAx>
      <c:valAx>
        <c:axId val="4631114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Count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4269842"/>
        <c:crosses val="autoZero"/>
        <c:crossBetween val="between"/>
        <c:majorUnit val="1"/>
      </c:valAx>
      <c:dTable>
        <c:showHorzBorder val="1"/>
        <c:showVertBorder val="1"/>
        <c:showOutline val="1"/>
        <c:showKeys val="1"/>
      </c:dTable>
      <c:spPr>
        <a:noFill/>
        <a:ln w="0">
          <a:noFill/>
        </a:ln>
      </c:spPr>
    </c:plotArea>
    <c:legend>
      <c:legendPos val="r"/>
      <c:overlay val="0"/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1</xdr:row>
      <xdr:rowOff>160560</xdr:rowOff>
    </xdr:from>
    <xdr:to>
      <xdr:col>12</xdr:col>
      <xdr:colOff>91440</xdr:colOff>
      <xdr:row>19</xdr:row>
      <xdr:rowOff>30480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"/>
  <sheetViews>
    <sheetView tabSelected="1" zoomScaleNormal="100" workbookViewId="0">
      <selection activeCell="F21" sqref="F21"/>
    </sheetView>
  </sheetViews>
  <sheetFormatPr defaultColWidth="8.6640625" defaultRowHeight="14.4" x14ac:dyDescent="0.3"/>
  <cols>
    <col min="1" max="1" width="28" customWidth="1"/>
    <col min="2" max="2" width="12" customWidth="1"/>
  </cols>
  <sheetData>
    <row r="1" spans="1:2" ht="17.399999999999999" x14ac:dyDescent="0.3">
      <c r="A1" s="1" t="s">
        <v>0</v>
      </c>
    </row>
    <row r="3" spans="1:2" x14ac:dyDescent="0.3">
      <c r="A3" s="3" t="s">
        <v>1</v>
      </c>
      <c r="B3" s="3" t="s">
        <v>2</v>
      </c>
    </row>
    <row r="4" spans="1:2" x14ac:dyDescent="0.3">
      <c r="A4" s="4" t="s">
        <v>3</v>
      </c>
      <c r="B4" s="4">
        <f>COUNTIF('Risk Register'!$G$5:$G$30,A4)</f>
        <v>1</v>
      </c>
    </row>
    <row r="5" spans="1:2" x14ac:dyDescent="0.3">
      <c r="A5" s="4" t="s">
        <v>4</v>
      </c>
      <c r="B5" s="4">
        <f>COUNTIF('Risk Register'!$G$5:$G$30,A5)</f>
        <v>2</v>
      </c>
    </row>
    <row r="6" spans="1:2" x14ac:dyDescent="0.3">
      <c r="A6" s="4" t="s">
        <v>5</v>
      </c>
      <c r="B6" s="4">
        <f>COUNTIF('Risk Register'!$G$5:$G$30,A6)</f>
        <v>1</v>
      </c>
    </row>
    <row r="7" spans="1:2" x14ac:dyDescent="0.3">
      <c r="A7" s="4" t="s">
        <v>6</v>
      </c>
      <c r="B7" s="4">
        <f>COUNTIF('Risk Register'!$G$5:$G$30,A7)</f>
        <v>0</v>
      </c>
    </row>
    <row r="8" spans="1:2" x14ac:dyDescent="0.3">
      <c r="A8" s="5" t="s">
        <v>7</v>
      </c>
      <c r="B8" s="5">
        <f>SUM(B4:B7)</f>
        <v>4</v>
      </c>
    </row>
    <row r="9" spans="1:2" x14ac:dyDescent="0.3">
      <c r="A9" s="5" t="s">
        <v>8</v>
      </c>
      <c r="B9" s="5">
        <f>COUNTIF('Risk Register'!$M$5:$M$30,"Open")</f>
        <v>4</v>
      </c>
    </row>
    <row r="10" spans="1:2" x14ac:dyDescent="0.3">
      <c r="A10" s="5" t="s">
        <v>9</v>
      </c>
      <c r="B10" s="6">
        <f>'Control Test'!B10</f>
        <v>0.3</v>
      </c>
    </row>
  </sheetData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4"/>
  <sheetViews>
    <sheetView zoomScaleNormal="100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B10" sqref="B10"/>
    </sheetView>
  </sheetViews>
  <sheetFormatPr defaultColWidth="100.44140625" defaultRowHeight="14.4" x14ac:dyDescent="0.3"/>
  <cols>
    <col min="1" max="1" width="99.88671875" customWidth="1"/>
    <col min="2" max="2" width="36.5546875" bestFit="1" customWidth="1"/>
    <col min="3" max="3" width="100.21875" bestFit="1" customWidth="1"/>
    <col min="4" max="4" width="14.5546875" bestFit="1" customWidth="1"/>
    <col min="5" max="5" width="11.33203125" bestFit="1" customWidth="1"/>
    <col min="6" max="6" width="10.44140625" bestFit="1" customWidth="1"/>
    <col min="7" max="7" width="7.33203125" bestFit="1" customWidth="1"/>
    <col min="8" max="8" width="98.77734375" bestFit="1" customWidth="1"/>
    <col min="9" max="9" width="22" bestFit="1" customWidth="1"/>
    <col min="10" max="10" width="26.77734375" bestFit="1" customWidth="1"/>
    <col min="11" max="11" width="49.21875" bestFit="1" customWidth="1"/>
    <col min="12" max="12" width="51.88671875" bestFit="1" customWidth="1"/>
    <col min="13" max="13" width="6.6640625" bestFit="1" customWidth="1"/>
  </cols>
  <sheetData>
    <row r="1" spans="1:13" s="7" customFormat="1" ht="17.399999999999999" x14ac:dyDescent="0.3">
      <c r="A1" s="7" t="s">
        <v>10</v>
      </c>
    </row>
    <row r="2" spans="1:13" x14ac:dyDescent="0.3">
      <c r="A2" s="2" t="s">
        <v>11</v>
      </c>
    </row>
    <row r="4" spans="1:13" x14ac:dyDescent="0.3">
      <c r="A4" s="11" t="s">
        <v>12</v>
      </c>
      <c r="B4" s="11" t="s">
        <v>13</v>
      </c>
      <c r="C4" s="11" t="s">
        <v>14</v>
      </c>
      <c r="D4" s="11" t="s">
        <v>15</v>
      </c>
      <c r="E4" s="11" t="s">
        <v>16</v>
      </c>
      <c r="F4" s="11" t="s">
        <v>17</v>
      </c>
      <c r="G4" s="11" t="s">
        <v>1</v>
      </c>
      <c r="H4" s="11" t="s">
        <v>18</v>
      </c>
      <c r="I4" s="11" t="s">
        <v>19</v>
      </c>
      <c r="J4" s="11" t="s">
        <v>20</v>
      </c>
      <c r="K4" s="11" t="s">
        <v>21</v>
      </c>
      <c r="L4" s="11" t="s">
        <v>22</v>
      </c>
      <c r="M4" s="11" t="s">
        <v>23</v>
      </c>
    </row>
    <row r="5" spans="1:13" ht="26.4" x14ac:dyDescent="0.3">
      <c r="A5" s="8" t="s">
        <v>24</v>
      </c>
      <c r="B5" s="8" t="s">
        <v>25</v>
      </c>
      <c r="C5" s="8" t="s">
        <v>26</v>
      </c>
      <c r="D5" s="9">
        <v>5</v>
      </c>
      <c r="E5" s="9">
        <v>4</v>
      </c>
      <c r="F5" s="10">
        <f>D5*E5</f>
        <v>20</v>
      </c>
      <c r="G5" s="10" t="str">
        <f>IF(F5&gt;=17,"Critical",IF(F5&gt;=10,"High",IF(F5&gt;=5,"Medium","Low")))</f>
        <v>Critical</v>
      </c>
      <c r="H5" s="8" t="s">
        <v>27</v>
      </c>
      <c r="I5" s="8" t="s">
        <v>28</v>
      </c>
      <c r="J5" s="8" t="s">
        <v>29</v>
      </c>
      <c r="K5" s="8" t="s">
        <v>30</v>
      </c>
      <c r="L5" s="8" t="s">
        <v>31</v>
      </c>
      <c r="M5" s="8" t="s">
        <v>32</v>
      </c>
    </row>
    <row r="6" spans="1:13" ht="26.4" x14ac:dyDescent="0.3">
      <c r="A6" s="8" t="s">
        <v>33</v>
      </c>
      <c r="B6" s="8" t="s">
        <v>34</v>
      </c>
      <c r="C6" s="8" t="s">
        <v>35</v>
      </c>
      <c r="D6" s="9">
        <v>4</v>
      </c>
      <c r="E6" s="9">
        <v>4</v>
      </c>
      <c r="F6" s="10">
        <f>D6*E6</f>
        <v>16</v>
      </c>
      <c r="G6" s="10" t="str">
        <f>IF(F6&gt;=17,"Critical",IF(F6&gt;=10,"High",IF(F6&gt;=5,"Medium","Low")))</f>
        <v>High</v>
      </c>
      <c r="H6" s="8" t="s">
        <v>36</v>
      </c>
      <c r="I6" s="8" t="s">
        <v>37</v>
      </c>
      <c r="J6" s="8" t="s">
        <v>38</v>
      </c>
      <c r="K6" s="8" t="s">
        <v>39</v>
      </c>
      <c r="L6" s="8" t="s">
        <v>40</v>
      </c>
      <c r="M6" s="8" t="s">
        <v>32</v>
      </c>
    </row>
    <row r="7" spans="1:13" ht="26.4" x14ac:dyDescent="0.3">
      <c r="A7" s="8" t="s">
        <v>41</v>
      </c>
      <c r="B7" s="8" t="s">
        <v>42</v>
      </c>
      <c r="C7" s="8" t="s">
        <v>43</v>
      </c>
      <c r="D7" s="9">
        <v>4</v>
      </c>
      <c r="E7" s="9">
        <v>4</v>
      </c>
      <c r="F7" s="10">
        <f>D7*E7</f>
        <v>16</v>
      </c>
      <c r="G7" s="10" t="str">
        <f>IF(F7&gt;=17,"Critical",IF(F7&gt;=10,"High",IF(F7&gt;=5,"Medium","Low")))</f>
        <v>High</v>
      </c>
      <c r="H7" s="8" t="s">
        <v>44</v>
      </c>
      <c r="I7" s="8" t="s">
        <v>45</v>
      </c>
      <c r="J7" s="8" t="s">
        <v>46</v>
      </c>
      <c r="K7" s="8" t="s">
        <v>47</v>
      </c>
      <c r="L7" s="8" t="s">
        <v>48</v>
      </c>
      <c r="M7" s="8" t="s">
        <v>32</v>
      </c>
    </row>
    <row r="8" spans="1:13" ht="26.4" x14ac:dyDescent="0.3">
      <c r="A8" s="8" t="s">
        <v>49</v>
      </c>
      <c r="B8" s="8" t="s">
        <v>50</v>
      </c>
      <c r="C8" s="8" t="s">
        <v>51</v>
      </c>
      <c r="D8" s="9">
        <v>3</v>
      </c>
      <c r="E8" s="9">
        <v>3</v>
      </c>
      <c r="F8" s="10">
        <f>D8*E8</f>
        <v>9</v>
      </c>
      <c r="G8" s="10" t="str">
        <f>IF(F8&gt;=17,"Critical",IF(F8&gt;=10,"High",IF(F8&gt;=5,"Medium","Low")))</f>
        <v>Medium</v>
      </c>
      <c r="H8" s="8" t="s">
        <v>52</v>
      </c>
      <c r="I8" s="8" t="s">
        <v>37</v>
      </c>
      <c r="J8" s="8" t="s">
        <v>53</v>
      </c>
      <c r="K8" s="8" t="s">
        <v>54</v>
      </c>
      <c r="L8" s="8" t="s">
        <v>55</v>
      </c>
      <c r="M8" s="8" t="s">
        <v>32</v>
      </c>
    </row>
    <row r="11" spans="1:13" x14ac:dyDescent="0.3">
      <c r="A11" s="13" t="s">
        <v>56</v>
      </c>
      <c r="B11" s="12"/>
      <c r="C11" s="12"/>
    </row>
    <row r="12" spans="1:13" ht="24" x14ac:dyDescent="0.3">
      <c r="A12" s="14" t="s">
        <v>57</v>
      </c>
      <c r="B12" s="12"/>
      <c r="C12" s="12"/>
    </row>
    <row r="13" spans="1:13" ht="24" x14ac:dyDescent="0.3">
      <c r="A13" s="14" t="s">
        <v>58</v>
      </c>
      <c r="B13" s="12"/>
      <c r="C13" s="12"/>
    </row>
    <row r="14" spans="1:13" ht="24" x14ac:dyDescent="0.3">
      <c r="A14" s="14" t="s">
        <v>59</v>
      </c>
      <c r="B14" s="12"/>
      <c r="C14" s="12"/>
    </row>
  </sheetData>
  <conditionalFormatting sqref="G1:G1048576">
    <cfRule type="containsText" dxfId="2" priority="4" operator="containsText" text="High">
      <formula>NOT(ISERROR(SEARCH("High",G1)))</formula>
    </cfRule>
    <cfRule type="containsText" dxfId="3" priority="3" operator="containsText" text="Medium">
      <formula>NOT(ISERROR(SEARCH("Medium",G1)))</formula>
    </cfRule>
    <cfRule type="containsText" dxfId="4" priority="2" operator="containsText" text="Low">
      <formula>NOT(ISERROR(SEARCH("Low",G1)))</formula>
    </cfRule>
    <cfRule type="containsText" dxfId="5" priority="1" operator="containsText" text="Critical">
      <formula>NOT(ISERROR(SEARCH("Critical",G1)))</formula>
    </cfRule>
  </conditionalFormatting>
  <dataValidations count="1">
    <dataValidation type="list" allowBlank="1" sqref="M5:M30" xr:uid="{00000000-0002-0000-0100-000000000000}">
      <formula1>"Open,In Progress,Remediated,Closed"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22"/>
  <sheetViews>
    <sheetView zoomScaleNormal="100" workbookViewId="0"/>
  </sheetViews>
  <sheetFormatPr defaultColWidth="8.6640625" defaultRowHeight="14.4" x14ac:dyDescent="0.3"/>
  <cols>
    <col min="1" max="1" width="55.109375" bestFit="1" customWidth="1"/>
    <col min="2" max="2" width="95" customWidth="1"/>
  </cols>
  <sheetData>
    <row r="1" spans="1:2" ht="17.399999999999999" x14ac:dyDescent="0.3">
      <c r="A1" s="1" t="s">
        <v>60</v>
      </c>
    </row>
    <row r="2" spans="1:2" x14ac:dyDescent="0.3">
      <c r="A2" s="2" t="s">
        <v>61</v>
      </c>
    </row>
    <row r="4" spans="1:2" x14ac:dyDescent="0.3">
      <c r="A4" s="16" t="s">
        <v>62</v>
      </c>
      <c r="B4" s="16" t="s">
        <v>63</v>
      </c>
    </row>
    <row r="5" spans="1:2" x14ac:dyDescent="0.3">
      <c r="A5" s="17" t="s">
        <v>64</v>
      </c>
      <c r="B5" s="8" t="s">
        <v>65</v>
      </c>
    </row>
    <row r="6" spans="1:2" x14ac:dyDescent="0.3">
      <c r="A6" s="17" t="s">
        <v>66</v>
      </c>
      <c r="B6" s="8" t="s">
        <v>67</v>
      </c>
    </row>
    <row r="7" spans="1:2" x14ac:dyDescent="0.3">
      <c r="A7" s="17" t="s">
        <v>68</v>
      </c>
      <c r="B7" s="8" t="s">
        <v>69</v>
      </c>
    </row>
    <row r="8" spans="1:2" x14ac:dyDescent="0.3">
      <c r="A8" s="17" t="s">
        <v>70</v>
      </c>
      <c r="B8" s="18">
        <v>10</v>
      </c>
    </row>
    <row r="9" spans="1:2" x14ac:dyDescent="0.3">
      <c r="A9" s="17" t="s">
        <v>71</v>
      </c>
      <c r="B9" s="18">
        <v>3</v>
      </c>
    </row>
    <row r="10" spans="1:2" x14ac:dyDescent="0.3">
      <c r="A10" s="17" t="s">
        <v>72</v>
      </c>
      <c r="B10" s="15">
        <f>B9/B8</f>
        <v>0.3</v>
      </c>
    </row>
    <row r="11" spans="1:2" x14ac:dyDescent="0.3">
      <c r="A11" s="17" t="s">
        <v>73</v>
      </c>
      <c r="B11" s="8" t="s">
        <v>74</v>
      </c>
    </row>
    <row r="12" spans="1:2" x14ac:dyDescent="0.3">
      <c r="A12" s="17" t="s">
        <v>75</v>
      </c>
      <c r="B12" s="8" t="s">
        <v>76</v>
      </c>
    </row>
    <row r="13" spans="1:2" x14ac:dyDescent="0.3">
      <c r="A13" s="17" t="s">
        <v>77</v>
      </c>
      <c r="B13" s="8" t="s">
        <v>78</v>
      </c>
    </row>
    <row r="14" spans="1:2" x14ac:dyDescent="0.3">
      <c r="A14" s="17" t="s">
        <v>79</v>
      </c>
      <c r="B14" s="19" t="str">
        <f>'Risk Register'!G7</f>
        <v>High</v>
      </c>
    </row>
    <row r="15" spans="1:2" ht="26.4" x14ac:dyDescent="0.3">
      <c r="A15" s="17" t="s">
        <v>80</v>
      </c>
      <c r="B15" s="8" t="s">
        <v>81</v>
      </c>
    </row>
    <row r="16" spans="1:2" x14ac:dyDescent="0.3">
      <c r="A16" s="17" t="s">
        <v>82</v>
      </c>
      <c r="B16" s="8" t="s">
        <v>83</v>
      </c>
    </row>
    <row r="17" spans="1:2" x14ac:dyDescent="0.3">
      <c r="A17" s="17" t="s">
        <v>84</v>
      </c>
      <c r="B17" s="8" t="s">
        <v>85</v>
      </c>
    </row>
    <row r="18" spans="1:2" x14ac:dyDescent="0.3">
      <c r="A18" s="17" t="s">
        <v>86</v>
      </c>
      <c r="B18" s="8" t="s">
        <v>87</v>
      </c>
    </row>
    <row r="19" spans="1:2" x14ac:dyDescent="0.3">
      <c r="A19" s="17" t="s">
        <v>88</v>
      </c>
      <c r="B19" s="8" t="s">
        <v>89</v>
      </c>
    </row>
    <row r="20" spans="1:2" x14ac:dyDescent="0.3">
      <c r="A20" s="17" t="s">
        <v>23</v>
      </c>
      <c r="B20" s="8" t="s">
        <v>32</v>
      </c>
    </row>
    <row r="21" spans="1:2" x14ac:dyDescent="0.3">
      <c r="A21" s="17" t="s">
        <v>90</v>
      </c>
      <c r="B21" s="8" t="s">
        <v>91</v>
      </c>
    </row>
    <row r="22" spans="1:2" x14ac:dyDescent="0.3">
      <c r="A22" s="17" t="s">
        <v>92</v>
      </c>
      <c r="B22" s="8" t="s">
        <v>93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Risk Register</vt:lpstr>
      <vt:lpstr>Control Test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shubhnage77@gmail.com</cp:lastModifiedBy>
  <cp:revision>1</cp:revision>
  <dcterms:created xsi:type="dcterms:W3CDTF">2026-10-25T00:09:37Z</dcterms:created>
  <dcterms:modified xsi:type="dcterms:W3CDTF">2026-10-25T00:22:42Z</dcterms:modified>
  <dc:language>en-US</dc:language>
</cp:coreProperties>
</file>